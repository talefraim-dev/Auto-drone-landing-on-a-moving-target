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al Efraim\Desktop\תואר ראשון\פרויקט גמר\"/>
    </mc:Choice>
  </mc:AlternateContent>
  <xr:revisionPtr revIDLastSave="0" documentId="13_ncr:1_{8DDB0434-3A60-47AB-8A2E-C1BDDEDFFF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<sst xmlns="http://schemas.openxmlformats.org/spreadsheetml/2006/main" count="161" uniqueCount="115">
  <si>
    <t>Category</t>
  </si>
  <si>
    <t>HW Component</t>
  </si>
  <si>
    <t>Brand</t>
  </si>
  <si>
    <t>Vendor</t>
  </si>
  <si>
    <t>direct link</t>
  </si>
  <si>
    <t>price</t>
  </si>
  <si>
    <t>quantity</t>
  </si>
  <si>
    <t>total cost (NIS)</t>
  </si>
  <si>
    <t>comments</t>
  </si>
  <si>
    <t>Frame &amp; Hardware</t>
  </si>
  <si>
    <t>Chassis</t>
  </si>
  <si>
    <t>Holybro S500 V2 development kit</t>
  </si>
  <si>
    <t>Holybro</t>
  </si>
  <si>
    <t>S500 v2 dev kit</t>
  </si>
  <si>
    <t>174$</t>
  </si>
  <si>
    <t>Jetson case</t>
  </si>
  <si>
    <t>T07C-For Jetson Orin Nano NX Aluminum</t>
  </si>
  <si>
    <t>Fruggo</t>
  </si>
  <si>
    <t>T07C-For Jetson Orin Nano NX Aluminum Enclosure</t>
  </si>
  <si>
    <t>Vibration Damping Foam Sponge</t>
  </si>
  <si>
    <t>Double-sided Adhesive Vibration Damping Foam Sponge</t>
  </si>
  <si>
    <t>Aliexpress</t>
  </si>
  <si>
    <t>Propulsion</t>
  </si>
  <si>
    <t>Motors</t>
  </si>
  <si>
    <t>T-Motor Air 2216 880KV (x4)</t>
  </si>
  <si>
    <t>N/A</t>
  </si>
  <si>
    <t>Part of the S500 v2 dev  kit</t>
  </si>
  <si>
    <t>Propellers</t>
  </si>
  <si>
    <t>T-Motor T1045 (2 Pairs + Spares)</t>
  </si>
  <si>
    <t>Flight Control</t>
  </si>
  <si>
    <t>Flight controller</t>
  </si>
  <si>
    <t>Pixhawk 6C</t>
  </si>
  <si>
    <t>195$</t>
  </si>
  <si>
    <t>Aluminum base, PM 07</t>
  </si>
  <si>
    <t>Power module</t>
  </si>
  <si>
    <t>Pixhawk PM07 power module</t>
  </si>
  <si>
    <t>Part of the Pixhawk 6C kit</t>
  </si>
  <si>
    <t>Power System</t>
  </si>
  <si>
    <t>ESCs</t>
  </si>
  <si>
    <t>Main Battery</t>
  </si>
  <si>
    <t>ReadyEdi 5200mAH 14.8V 75C 4S1P Lipo Battery Pack With XT60 Plug</t>
  </si>
  <si>
    <t>readyedi</t>
  </si>
  <si>
    <t>ReadyEdi 5200mAH 14.8V 75C 4S1P With XT60 Plug</t>
  </si>
  <si>
    <t>Need to buy a compatible charger</t>
  </si>
  <si>
    <t>Jetson Regulator</t>
  </si>
  <si>
    <t>2-8S LiPo UBEC-8A BEC 5.2/6.0/7.4/8.4V Servo Independent Power Supply</t>
  </si>
  <si>
    <t>ToysCentral</t>
  </si>
  <si>
    <t xml:space="preserve">2-8S LiPo UBEC-8A BEC 5.2/6.0/7.4/8.4V </t>
  </si>
  <si>
    <t>Compute &amp; Sensing</t>
  </si>
  <si>
    <t>Carrier Board for Jetson</t>
  </si>
  <si>
    <t>Lumen - NVIDIA® Jetson Nano™ Orin™ NX Orin™ Nano Xavier™ NX and TX2™ NX. Compact Carrier Board</t>
  </si>
  <si>
    <t>Lumen - NVIDIA® Jetson</t>
  </si>
  <si>
    <t>AI Computer</t>
  </si>
  <si>
    <t>NVIDIA Jetson Orin NX 8GB</t>
  </si>
  <si>
    <t>C.R.G Electronics</t>
  </si>
  <si>
    <t>Jeson  Orin  NX 8GB</t>
  </si>
  <si>
    <t>RTC Battery</t>
  </si>
  <si>
    <t>Panasonic CR2032</t>
  </si>
  <si>
    <t>Sollan</t>
  </si>
  <si>
    <t>CR-2032</t>
  </si>
  <si>
    <t>Lidar</t>
  </si>
  <si>
    <t>H-Flow</t>
  </si>
  <si>
    <t>Holybro H-Flow (Optical Flow and Distance Sensor Module)</t>
  </si>
  <si>
    <t>Holybro  H flow</t>
  </si>
  <si>
    <t>125$</t>
  </si>
  <si>
    <t>GPS</t>
  </si>
  <si>
    <t>Holybro M10 GPS</t>
  </si>
  <si>
    <t>M10 GPS</t>
  </si>
  <si>
    <t>44$</t>
  </si>
  <si>
    <t>RC Receiver</t>
  </si>
  <si>
    <t>Helloradiosky HR7E ELRS 8 Channel 2.4GHz Receiver Black</t>
  </si>
  <si>
    <t>hobbyking</t>
  </si>
  <si>
    <t>Helloradiosky HR7E ELRS 8 Channel 2.4GHz Receiver</t>
  </si>
  <si>
    <t>24$</t>
  </si>
  <si>
    <t>Video &amp; Data Link</t>
  </si>
  <si>
    <t>Main Camera</t>
  </si>
  <si>
    <t>e-con Systems e-CAM86_CUONX</t>
  </si>
  <si>
    <t>e-con Systems</t>
  </si>
  <si>
    <t xml:space="preserve"> e-CAM810_CUMI678C_MOD - 8MP Sony® STARVIS2 IMX678 Camera Module</t>
  </si>
  <si>
    <t>150$</t>
  </si>
  <si>
    <t>High gain antenna</t>
  </si>
  <si>
    <t>Taoglas WDP.2458.25.4.B.02</t>
  </si>
  <si>
    <t>Mouser</t>
  </si>
  <si>
    <t>WDP.2458.25.4.B.02</t>
  </si>
  <si>
    <t>3.44$</t>
  </si>
  <si>
    <t>WiFi USB Adapter 2.4 &amp; 5 GHz</t>
  </si>
  <si>
    <t>zSecurity RTL8812AU Dual Band Wireless WiFi USB Adapter 2.4 &amp; 5 Ghz</t>
  </si>
  <si>
    <t>zsecurity</t>
  </si>
  <si>
    <t xml:space="preserve"> Dual Band Wireless WiFi USB Adapter 2.4 &amp; 5 Ghz</t>
  </si>
  <si>
    <t>35$</t>
  </si>
  <si>
    <t>diversity / omni antenna</t>
  </si>
  <si>
    <t>Taoglas GW.71.5153</t>
  </si>
  <si>
    <t>9$</t>
  </si>
  <si>
    <t>2.4 GHz 8 dBi LH Circular Polarized Patch Antenna - 12in N-Female Connector</t>
  </si>
  <si>
    <t>L-com</t>
  </si>
  <si>
    <t>2.4 GHz 8 dBi LH Circular Polarized Patch Antenna</t>
  </si>
  <si>
    <t>77$</t>
  </si>
  <si>
    <t>QGOO Wireless AC1300Mbps USB 3.0 Network Dongle with 5dBi High Gain Dual Antennas, 2.4GHz/5GHz</t>
  </si>
  <si>
    <t>Amazon</t>
  </si>
  <si>
    <t>QGOO WIFI adapter  2.4-5GHz ground station</t>
  </si>
  <si>
    <t>14$</t>
  </si>
  <si>
    <t>RC controller</t>
  </si>
  <si>
    <t>RADIOMASTER TX15 Max Radio Controller (ELRS / M2)</t>
  </si>
  <si>
    <t>RADIOMASTER</t>
  </si>
  <si>
    <t>TX15 Max Radio Controller (ELRS / M2)</t>
  </si>
  <si>
    <t>200$</t>
  </si>
  <si>
    <t xml:space="preserve">Total cost(NIS): </t>
  </si>
  <si>
    <t>Spare  propellers</t>
  </si>
  <si>
    <t>Spare  10'' propellers</t>
  </si>
  <si>
    <t>Spare  propellers set of 4</t>
  </si>
  <si>
    <t xml:space="preserve">Ground station </t>
  </si>
  <si>
    <t>Orbbec Oradar MS200 Lidar Compatible with ROS2 Robot SLAM Mapping Navigation TOF Ranging</t>
  </si>
  <si>
    <t>Orbbec Oradar</t>
  </si>
  <si>
    <t>Orbbec Oradar MS200 Lidar</t>
  </si>
  <si>
    <t>100$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</si>
</sst>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1" xfId="0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2" fillId="4" borderId="1" xfId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2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4" fontId="0" fillId="5" borderId="1" xfId="0" applyNumberFormat="1" applyFill="1" applyBorder="1" applyAlignment="1">
      <alignment horizontal="center" vertical="center"/>
    </xf>
    <xf numFmtId="0" fontId="2" fillId="5" borderId="1" xfId="1" applyFill="1" applyBorder="1"/>
    <xf numFmtId="0" fontId="0" fillId="5" borderId="1" xfId="0" applyFill="1" applyBorder="1" applyAlignment="1">
      <alignment horizontal="center"/>
    </xf>
    <xf numFmtId="0" fontId="3" fillId="5" borderId="1" xfId="0" applyFont="1" applyFill="1" applyBorder="1"/>
    <xf numFmtId="0" fontId="0" fillId="6" borderId="1" xfId="0" applyFill="1" applyBorder="1" applyAlignment="1">
      <alignment horizontal="left" vertical="center"/>
    </xf>
    <xf numFmtId="0" fontId="2" fillId="6" borderId="1" xfId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2" fillId="7" borderId="1" xfId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4" fillId="7" borderId="0" xfId="0" applyFont="1" applyFill="1"/>
    <xf numFmtId="0" fontId="2" fillId="7" borderId="1" xfId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1" applyFill="1" applyBorder="1" applyAlignment="1">
      <alignment horizontal="left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il/ProductDetail/Panasonic-Battery/CR-2032-HGN?qs=G5y0NGDTNBiXVwf1Ay7DSA%3D%3D" TargetMode="External"/><Relationship Id="rId13" Type="http://schemas.openxmlformats.org/officeDocument/2006/relationships/hyperlink" Target="https://holybro.com/products/h-flow?srsltid=AfmBOoqYj4cJ-twnthA2Rv7Az2Bf9prLS7FWHg-QRQxp31BJUvLjtQm1" TargetMode="External"/><Relationship Id="rId18" Type="http://schemas.openxmlformats.org/officeDocument/2006/relationships/hyperlink" Target="https://zsecurity.org/product/zsecurity-dual-band-usb-wireless-adapter-2-4-5-ghz-realtek-rtl8812au/?srsltid=AfmBOorgdOJ2yyHI_15yKhdpGg9basJYdaL5d8Q8fBgVWGV8FkY3ykxq" TargetMode="External"/><Relationship Id="rId3" Type="http://schemas.openxmlformats.org/officeDocument/2006/relationships/hyperlink" Target="https://holybro.com/products/pixhawk-6c?variant=42420293599421" TargetMode="External"/><Relationship Id="rId21" Type="http://schemas.openxmlformats.org/officeDocument/2006/relationships/hyperlink" Target="https://he.aliexpress.com/item/1005007613985056.html?spm=a2g0o.tesla.0.0.13ebKQubKQubjU&amp;afTraceInfo=1005007613985056__pc__c_ppc_item_bridge_pc_main__GvErtxL__1770074752940&amp;gatewayAdapt=glo2isr" TargetMode="External"/><Relationship Id="rId7" Type="http://schemas.openxmlformats.org/officeDocument/2006/relationships/hyperlink" Target="https://crg.co.il/product/jetson-orin-nx-8gb/" TargetMode="External"/><Relationship Id="rId12" Type="http://schemas.openxmlformats.org/officeDocument/2006/relationships/hyperlink" Target="https://www.e-consystems.com/nvidia-cameras/jetson-orin-nx-cameras/8mp-sony-starvis2-imx678-camera.asp" TargetMode="External"/><Relationship Id="rId17" Type="http://schemas.openxmlformats.org/officeDocument/2006/relationships/hyperlink" Target="https://www.mouser.co.il/ProductDetail/Taoglas/GW.71.5153?qs=WUa1z%2FNV9%252B2lzv2ZS%2F50GQ%3D%3D" TargetMode="External"/><Relationship Id="rId2" Type="http://schemas.openxmlformats.org/officeDocument/2006/relationships/hyperlink" Target="https://holybro.com/products/m10-gps" TargetMode="External"/><Relationship Id="rId16" Type="http://schemas.openxmlformats.org/officeDocument/2006/relationships/hyperlink" Target="https://www.mouser.co.il/ProductDetail/Taoglas/GW.71.5153?qs=WUa1z%2FNV9%252B2lzv2ZS%2F50GQ%3D%3D" TargetMode="External"/><Relationship Id="rId20" Type="http://schemas.openxmlformats.org/officeDocument/2006/relationships/hyperlink" Target="https://www.fruugo.co.il/t07c-for-jetson-orin-nano-nx-aluminum-enclosure-development-boards-portable-camera-stands-metal-case-enclosure/p-420813839-886530568?language=en" TargetMode="External"/><Relationship Id="rId1" Type="http://schemas.openxmlformats.org/officeDocument/2006/relationships/hyperlink" Target="https://holybro.com/collections/multicopter-kit/products/s500-v2-kit?variant=42675892191421" TargetMode="External"/><Relationship Id="rId6" Type="http://schemas.openxmlformats.org/officeDocument/2006/relationships/hyperlink" Target="https://readyedi.co.il/collections/nvidia-jetson/products/lumen-nvidia-jetson-carrier-board" TargetMode="External"/><Relationship Id="rId11" Type="http://schemas.openxmlformats.org/officeDocument/2006/relationships/hyperlink" Target="https://radiomasterrc.com/products/tx15-max-radio-controller-elrs-m2" TargetMode="External"/><Relationship Id="rId5" Type="http://schemas.openxmlformats.org/officeDocument/2006/relationships/hyperlink" Target="https://readyedi.co.il/collections/batteries/products/readyedi-5200mah-14-8v-75c-4s1p-lipo-battery-pack-with-xt60-plug" TargetMode="External"/><Relationship Id="rId15" Type="http://schemas.openxmlformats.org/officeDocument/2006/relationships/hyperlink" Target="https://www.l-com.com/wireless-antenna-24-ghz-8-dbi-lh-circular-polarized-patch-antenna-12in-n-female-connector?srsltid=AfmBOopyMIQx7UWpmBZGEZGEkRWjrkf1g0dpJq2DLPuyOAJGQyfrIUQ9" TargetMode="External"/><Relationship Id="rId23" Type="http://schemas.openxmlformats.org/officeDocument/2006/relationships/hyperlink" Target="https://www.hiwonder.com/products/orbbec-oradar-ms200-lidar?_pos=1&amp;_sid=e41fb64a0&amp;_ss=r" TargetMode="External"/><Relationship Id="rId10" Type="http://schemas.openxmlformats.org/officeDocument/2006/relationships/hyperlink" Target="https://hobbyking.com/en_us/helloradiosky-hr7e-elrs-8-channel-2-4ghz-receiver-black.html" TargetMode="External"/><Relationship Id="rId19" Type="http://schemas.openxmlformats.org/officeDocument/2006/relationships/hyperlink" Target="https://www.amazon.com/dp/B0F8NW1TCY/ref=sspa_dk_detail_0?pd_rd_i=B0F8NW1TCY&amp;pd_rd_w=N2vyG&amp;content-id=amzn1.sym.7446a9d1-25fe-4460-b135-a60336bad2c9&amp;pf_rd_p=7446a9d1-25fe-4460-b135-a60336bad2c9&amp;pf_rd_r=J6AD4BY41Y4077P2R8X0&amp;pd_rd_wg=ppTfk&amp;pd_rd_r=c1f071dd-2164-4838-81c3-2eb1d530b4e2&amp;sp_csd=d2lkZ2V0TmFtZT1zcF9kZXRhaWw&amp;th=1" TargetMode="External"/><Relationship Id="rId4" Type="http://schemas.openxmlformats.org/officeDocument/2006/relationships/hyperlink" Target="https://holybro.com/products/pm03d-power-module?variant=42753360855229" TargetMode="External"/><Relationship Id="rId9" Type="http://schemas.openxmlformats.org/officeDocument/2006/relationships/hyperlink" Target="https://toyscentral.co.il/products/28s-lipo-ubec8a-bec-52607484v-servo-independent-power-supply-for-rc-car-fixed-wing-airplane-robot?gad_source=1&amp;gad_campaignid=17327902751&amp;gbraid=0AAAAABnaHDfZIl2aZt5k8Rlvv0FA3Dy3f&amp;gclid=CjwKCAiAs4HMBhBJEiwACrfNZft1n2cJafokWN7zvTS7cdC5okhHxlgS44ibJoXXe3gOhG_hJVcP4BoCy-QQAvD_BwE" TargetMode="External"/><Relationship Id="rId14" Type="http://schemas.openxmlformats.org/officeDocument/2006/relationships/hyperlink" Target="https://www.mouser.co.il/ProductDetail/Taoglas/WDP.2458.25.4.B.02?qs=gQGbhTXPkfiOgXF1%252B%252BBa6A%3D%3D" TargetMode="External"/><Relationship Id="rId22" Type="http://schemas.openxmlformats.org/officeDocument/2006/relationships/hyperlink" Target="https://he.aliexpress.com/i/1005005840691534.html?gatewayAdapt=glo2i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zoomScaleNormal="100" workbookViewId="0">
      <selection activeCell="C35" sqref="C35"/>
    </sheetView>
  </sheetViews>
  <sheetFormatPr defaultRowHeight="15" x14ac:dyDescent="0.25"/>
  <cols>
    <col min="1" max="1" width="29.140625" style="4" bestFit="1" customWidth="1"/>
    <col min="2" max="2" width="30.5703125" style="4" bestFit="1" customWidth="1"/>
    <col min="3" max="3" width="91.5703125" style="4" bestFit="1" customWidth="1"/>
    <col min="4" max="4" width="21.140625" style="4" bestFit="1" customWidth="1"/>
    <col min="5" max="5" width="66.7109375" style="4" bestFit="1" customWidth="1"/>
    <col min="6" max="6" width="15" style="31" bestFit="1" customWidth="1"/>
    <col min="7" max="7" width="15.42578125" style="31" bestFit="1" customWidth="1"/>
    <col min="8" max="8" width="14.140625" style="31" bestFit="1" customWidth="1"/>
    <col min="9" max="9" width="31.140625" style="4" bestFit="1" customWidth="1"/>
    <col min="10" max="16384" width="9.140625" style="4"/>
  </cols>
  <sheetData>
    <row r="1" spans="1:31" s="37" customFormat="1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7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5">
      <c r="A2" s="1" t="s">
        <v>9</v>
      </c>
      <c r="B2" s="1" t="s">
        <v>10</v>
      </c>
      <c r="C2" s="1" t="s">
        <v>11</v>
      </c>
      <c r="D2" s="3" t="s">
        <v>12</v>
      </c>
      <c r="E2" s="2" t="s">
        <v>13</v>
      </c>
      <c r="F2" s="3" t="s">
        <v>14</v>
      </c>
      <c r="G2" s="3">
        <v>1</v>
      </c>
      <c r="H2" s="3">
        <v>540</v>
      </c>
    </row>
    <row r="3" spans="1:31" customFormat="1" x14ac:dyDescent="0.25">
      <c r="A3" s="1" t="s">
        <v>9</v>
      </c>
      <c r="B3" s="1" t="s">
        <v>15</v>
      </c>
      <c r="C3" s="1" t="s">
        <v>16</v>
      </c>
      <c r="D3" s="3" t="s">
        <v>17</v>
      </c>
      <c r="E3" s="2" t="s">
        <v>18</v>
      </c>
      <c r="F3" s="3">
        <v>189</v>
      </c>
      <c r="G3" s="3">
        <v>1</v>
      </c>
      <c r="H3" s="3">
        <v>189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customFormat="1" x14ac:dyDescent="0.25">
      <c r="A4" s="1" t="s">
        <v>9</v>
      </c>
      <c r="B4" s="1" t="s">
        <v>19</v>
      </c>
      <c r="C4" s="1" t="s">
        <v>20</v>
      </c>
      <c r="D4" s="3" t="s">
        <v>21</v>
      </c>
      <c r="E4" s="2" t="s">
        <v>19</v>
      </c>
      <c r="F4" s="3">
        <v>3.2</v>
      </c>
      <c r="G4" s="3">
        <v>5</v>
      </c>
      <c r="H4" s="3">
        <v>16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5">
      <c r="A5" s="5" t="s">
        <v>22</v>
      </c>
      <c r="B5" s="5" t="s">
        <v>23</v>
      </c>
      <c r="C5" s="5" t="s">
        <v>24</v>
      </c>
      <c r="D5" s="6" t="s">
        <v>12</v>
      </c>
      <c r="E5" s="5" t="s">
        <v>25</v>
      </c>
      <c r="F5" s="6">
        <v>0</v>
      </c>
      <c r="G5" s="6">
        <v>0</v>
      </c>
      <c r="H5" s="6">
        <v>0</v>
      </c>
      <c r="I5" s="5" t="s">
        <v>26</v>
      </c>
    </row>
    <row r="6" spans="1:31" x14ac:dyDescent="0.25">
      <c r="A6" s="5" t="s">
        <v>22</v>
      </c>
      <c r="B6" s="5" t="s">
        <v>27</v>
      </c>
      <c r="C6" s="5" t="s">
        <v>28</v>
      </c>
      <c r="D6" s="6" t="s">
        <v>12</v>
      </c>
      <c r="E6" s="5" t="s">
        <v>25</v>
      </c>
      <c r="F6" s="6">
        <v>0</v>
      </c>
      <c r="G6" s="6">
        <v>0</v>
      </c>
      <c r="H6" s="6">
        <v>0</v>
      </c>
      <c r="I6" s="5" t="s">
        <v>26</v>
      </c>
    </row>
    <row r="7" spans="1:31" customFormat="1" x14ac:dyDescent="0.25">
      <c r="A7" s="5" t="s">
        <v>22</v>
      </c>
      <c r="B7" s="5" t="s">
        <v>107</v>
      </c>
      <c r="C7" s="5" t="s">
        <v>109</v>
      </c>
      <c r="D7" s="6" t="s">
        <v>21</v>
      </c>
      <c r="E7" s="32" t="s">
        <v>108</v>
      </c>
      <c r="F7" s="6">
        <v>57</v>
      </c>
      <c r="G7" s="6">
        <v>2</v>
      </c>
      <c r="H7" s="6">
        <v>114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s="7" customFormat="1" x14ac:dyDescent="0.25">
      <c r="A8" s="7" t="s">
        <v>29</v>
      </c>
      <c r="B8" s="7" t="s">
        <v>30</v>
      </c>
      <c r="C8" s="7" t="s">
        <v>31</v>
      </c>
      <c r="D8" s="12" t="s">
        <v>12</v>
      </c>
      <c r="E8" s="8" t="s">
        <v>31</v>
      </c>
      <c r="F8" s="9" t="s">
        <v>32</v>
      </c>
      <c r="G8" s="9">
        <v>1</v>
      </c>
      <c r="H8" s="9">
        <v>605</v>
      </c>
      <c r="I8" s="7" t="s">
        <v>33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s="7" customFormat="1" x14ac:dyDescent="0.25">
      <c r="A9" s="7" t="s">
        <v>29</v>
      </c>
      <c r="B9" s="7" t="s">
        <v>34</v>
      </c>
      <c r="C9" s="7" t="s">
        <v>35</v>
      </c>
      <c r="D9" s="12" t="s">
        <v>12</v>
      </c>
      <c r="E9" s="8" t="s">
        <v>25</v>
      </c>
      <c r="F9" s="9">
        <v>0</v>
      </c>
      <c r="G9" s="9">
        <v>1</v>
      </c>
      <c r="H9" s="9">
        <v>0</v>
      </c>
      <c r="I9" s="7" t="s">
        <v>36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5">
      <c r="A10" s="10" t="s">
        <v>37</v>
      </c>
      <c r="B10" s="10" t="s">
        <v>38</v>
      </c>
      <c r="C10" s="10" t="s">
        <v>12</v>
      </c>
      <c r="D10" s="12" t="s">
        <v>12</v>
      </c>
      <c r="E10" s="11" t="s">
        <v>25</v>
      </c>
      <c r="F10" s="12">
        <v>0</v>
      </c>
      <c r="G10" s="12">
        <v>1</v>
      </c>
      <c r="H10" s="12">
        <v>0</v>
      </c>
      <c r="I10" s="5" t="s">
        <v>26</v>
      </c>
    </row>
    <row r="11" spans="1:31" x14ac:dyDescent="0.25">
      <c r="A11" s="10" t="s">
        <v>37</v>
      </c>
      <c r="B11" s="10" t="s">
        <v>39</v>
      </c>
      <c r="C11" s="10" t="s">
        <v>40</v>
      </c>
      <c r="D11" s="12" t="s">
        <v>41</v>
      </c>
      <c r="E11" s="11" t="s">
        <v>42</v>
      </c>
      <c r="F11" s="12">
        <v>413</v>
      </c>
      <c r="G11" s="12">
        <v>2</v>
      </c>
      <c r="H11" s="12">
        <v>816</v>
      </c>
      <c r="I11" s="12" t="s">
        <v>43</v>
      </c>
    </row>
    <row r="12" spans="1:31" x14ac:dyDescent="0.25">
      <c r="A12" s="10" t="s">
        <v>37</v>
      </c>
      <c r="B12" s="10" t="s">
        <v>44</v>
      </c>
      <c r="C12" s="10" t="s">
        <v>45</v>
      </c>
      <c r="D12" s="12" t="s">
        <v>46</v>
      </c>
      <c r="E12" s="11" t="s">
        <v>47</v>
      </c>
      <c r="F12" s="12">
        <v>206</v>
      </c>
      <c r="G12" s="12">
        <v>1</v>
      </c>
      <c r="H12" s="12">
        <v>206</v>
      </c>
    </row>
    <row r="13" spans="1:31" s="16" customFormat="1" x14ac:dyDescent="0.25">
      <c r="A13" s="13" t="s">
        <v>48</v>
      </c>
      <c r="B13" s="13" t="s">
        <v>49</v>
      </c>
      <c r="C13" s="13" t="s">
        <v>50</v>
      </c>
      <c r="D13" s="15" t="s">
        <v>41</v>
      </c>
      <c r="E13" s="14" t="s">
        <v>51</v>
      </c>
      <c r="F13" s="15">
        <v>925</v>
      </c>
      <c r="G13" s="15">
        <v>1</v>
      </c>
      <c r="H13" s="15">
        <v>925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5">
      <c r="A14" s="13" t="s">
        <v>48</v>
      </c>
      <c r="B14" s="13" t="s">
        <v>52</v>
      </c>
      <c r="C14" s="13" t="s">
        <v>53</v>
      </c>
      <c r="D14" s="15" t="s">
        <v>54</v>
      </c>
      <c r="E14" s="14" t="s">
        <v>55</v>
      </c>
      <c r="F14" s="17">
        <v>1640</v>
      </c>
      <c r="G14" s="15">
        <v>1</v>
      </c>
      <c r="H14" s="17">
        <v>1640</v>
      </c>
    </row>
    <row r="15" spans="1:31" x14ac:dyDescent="0.25">
      <c r="A15" s="13" t="s">
        <v>48</v>
      </c>
      <c r="B15" s="13" t="s">
        <v>56</v>
      </c>
      <c r="C15" s="13" t="s">
        <v>57</v>
      </c>
      <c r="D15" s="15" t="s">
        <v>58</v>
      </c>
      <c r="E15" s="14" t="s">
        <v>59</v>
      </c>
      <c r="F15" s="15">
        <v>25</v>
      </c>
      <c r="G15" s="15">
        <v>1</v>
      </c>
      <c r="H15" s="15">
        <v>25</v>
      </c>
    </row>
    <row r="16" spans="1:31" s="16" customFormat="1" x14ac:dyDescent="0.25">
      <c r="A16" s="13" t="s">
        <v>48</v>
      </c>
      <c r="B16" s="13" t="s">
        <v>60</v>
      </c>
      <c r="C16" s="13" t="s">
        <v>111</v>
      </c>
      <c r="D16" s="15" t="s">
        <v>112</v>
      </c>
      <c r="E16" s="18" t="s">
        <v>113</v>
      </c>
      <c r="F16" s="19" t="s">
        <v>114</v>
      </c>
      <c r="G16" s="19">
        <v>1</v>
      </c>
      <c r="H16" s="19">
        <v>311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s="16" customFormat="1" x14ac:dyDescent="0.25">
      <c r="A17" s="16" t="s">
        <v>48</v>
      </c>
      <c r="B17" s="16" t="s">
        <v>61</v>
      </c>
      <c r="C17" s="16" t="s">
        <v>62</v>
      </c>
      <c r="D17" s="15" t="s">
        <v>12</v>
      </c>
      <c r="E17" s="18" t="s">
        <v>63</v>
      </c>
      <c r="F17" s="19" t="s">
        <v>64</v>
      </c>
      <c r="G17" s="19">
        <v>1</v>
      </c>
      <c r="H17" s="19">
        <v>388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s="16" customFormat="1" x14ac:dyDescent="0.25">
      <c r="A18" s="16" t="s">
        <v>48</v>
      </c>
      <c r="B18" s="16" t="s">
        <v>65</v>
      </c>
      <c r="C18" s="20" t="s">
        <v>66</v>
      </c>
      <c r="D18" s="15" t="s">
        <v>12</v>
      </c>
      <c r="E18" s="18" t="s">
        <v>67</v>
      </c>
      <c r="F18" s="15" t="s">
        <v>68</v>
      </c>
      <c r="G18" s="19">
        <v>1</v>
      </c>
      <c r="H18" s="19">
        <v>136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5">
      <c r="A19" s="21" t="s">
        <v>29</v>
      </c>
      <c r="B19" s="21" t="s">
        <v>69</v>
      </c>
      <c r="C19" s="21" t="s">
        <v>70</v>
      </c>
      <c r="D19" s="23" t="s">
        <v>71</v>
      </c>
      <c r="E19" s="22" t="s">
        <v>72</v>
      </c>
      <c r="F19" s="23" t="s">
        <v>73</v>
      </c>
      <c r="G19" s="23">
        <v>1</v>
      </c>
      <c r="H19" s="23">
        <v>75</v>
      </c>
    </row>
    <row r="20" spans="1:31" x14ac:dyDescent="0.25">
      <c r="A20" s="24" t="s">
        <v>74</v>
      </c>
      <c r="B20" s="24" t="s">
        <v>75</v>
      </c>
      <c r="C20" s="24" t="s">
        <v>76</v>
      </c>
      <c r="D20" s="26" t="s">
        <v>77</v>
      </c>
      <c r="E20" s="25" t="s">
        <v>78</v>
      </c>
      <c r="F20" s="26" t="s">
        <v>79</v>
      </c>
      <c r="G20" s="26">
        <v>1</v>
      </c>
      <c r="H20" s="26">
        <v>465</v>
      </c>
    </row>
    <row r="21" spans="1:31" s="27" customFormat="1" x14ac:dyDescent="0.25">
      <c r="A21" s="24" t="s">
        <v>74</v>
      </c>
      <c r="B21" s="27" t="s">
        <v>80</v>
      </c>
      <c r="C21" s="28" t="s">
        <v>81</v>
      </c>
      <c r="D21" s="26" t="s">
        <v>82</v>
      </c>
      <c r="E21" s="29" t="s">
        <v>83</v>
      </c>
      <c r="F21" s="30" t="s">
        <v>84</v>
      </c>
      <c r="G21" s="30">
        <v>1</v>
      </c>
      <c r="H21" s="30">
        <v>11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s="27" customFormat="1" x14ac:dyDescent="0.25">
      <c r="A22" s="24" t="s">
        <v>74</v>
      </c>
      <c r="B22" s="27" t="s">
        <v>85</v>
      </c>
      <c r="C22" s="27" t="s">
        <v>86</v>
      </c>
      <c r="D22" s="26" t="s">
        <v>87</v>
      </c>
      <c r="E22" s="29" t="s">
        <v>88</v>
      </c>
      <c r="F22" s="30" t="s">
        <v>89</v>
      </c>
      <c r="G22" s="30">
        <v>1</v>
      </c>
      <c r="H22" s="30">
        <v>109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s="27" customFormat="1" x14ac:dyDescent="0.25">
      <c r="A23" s="24" t="s">
        <v>74</v>
      </c>
      <c r="B23" s="27" t="s">
        <v>90</v>
      </c>
      <c r="C23" s="27" t="s">
        <v>91</v>
      </c>
      <c r="D23" s="26" t="s">
        <v>82</v>
      </c>
      <c r="E23" s="29" t="s">
        <v>91</v>
      </c>
      <c r="F23" s="30" t="s">
        <v>92</v>
      </c>
      <c r="G23" s="30">
        <v>1</v>
      </c>
      <c r="H23" s="30">
        <v>28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6" spans="1:31" x14ac:dyDescent="0.25">
      <c r="A26" s="38" t="s">
        <v>110</v>
      </c>
      <c r="B26" s="39"/>
      <c r="C26" s="40"/>
      <c r="D26" s="40"/>
      <c r="E26" s="40"/>
      <c r="F26" s="40"/>
      <c r="G26" s="40"/>
      <c r="H26" s="41"/>
    </row>
    <row r="27" spans="1:31" s="27" customFormat="1" x14ac:dyDescent="0.25">
      <c r="A27" s="24" t="s">
        <v>74</v>
      </c>
      <c r="B27" s="27" t="s">
        <v>80</v>
      </c>
      <c r="C27" s="27" t="s">
        <v>93</v>
      </c>
      <c r="D27" s="26" t="s">
        <v>94</v>
      </c>
      <c r="E27" s="29" t="s">
        <v>95</v>
      </c>
      <c r="F27" s="30" t="s">
        <v>96</v>
      </c>
      <c r="G27" s="30">
        <v>1</v>
      </c>
      <c r="H27" s="30">
        <v>240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s="27" customFormat="1" x14ac:dyDescent="0.25">
      <c r="A28" s="24" t="s">
        <v>74</v>
      </c>
      <c r="B28" s="27" t="s">
        <v>90</v>
      </c>
      <c r="C28" s="27" t="s">
        <v>91</v>
      </c>
      <c r="D28" s="26" t="s">
        <v>82</v>
      </c>
      <c r="E28" s="29" t="s">
        <v>91</v>
      </c>
      <c r="F28" s="30" t="s">
        <v>92</v>
      </c>
      <c r="G28" s="30">
        <v>1</v>
      </c>
      <c r="H28" s="30">
        <v>28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s="27" customFormat="1" x14ac:dyDescent="0.25">
      <c r="A29" s="24" t="s">
        <v>74</v>
      </c>
      <c r="B29" s="27" t="s">
        <v>85</v>
      </c>
      <c r="C29" s="27" t="s">
        <v>97</v>
      </c>
      <c r="D29" s="26" t="s">
        <v>98</v>
      </c>
      <c r="E29" s="29" t="s">
        <v>99</v>
      </c>
      <c r="F29" s="30" t="s">
        <v>100</v>
      </c>
      <c r="G29" s="30">
        <v>1</v>
      </c>
      <c r="H29" s="30">
        <v>44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x14ac:dyDescent="0.25">
      <c r="A30" s="21" t="s">
        <v>29</v>
      </c>
      <c r="B30" s="21" t="s">
        <v>101</v>
      </c>
      <c r="C30" s="21" t="s">
        <v>102</v>
      </c>
      <c r="D30" s="23" t="s">
        <v>103</v>
      </c>
      <c r="E30" s="22" t="s">
        <v>104</v>
      </c>
      <c r="F30" s="23" t="s">
        <v>105</v>
      </c>
      <c r="G30" s="23">
        <v>1</v>
      </c>
      <c r="H30" s="23">
        <v>621</v>
      </c>
    </row>
    <row r="32" spans="1:31" s="33" customFormat="1" x14ac:dyDescent="0.25">
      <c r="F32" s="34"/>
      <c r="G32" s="35" t="s">
        <v>106</v>
      </c>
      <c r="H32" s="35">
        <f>SUM(H2:H30)</f>
        <v>7532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</sheetData>
  <mergeCells count="1">
    <mergeCell ref="B26:H26"/>
  </mergeCells>
  <hyperlinks>
    <hyperlink ref="E2" r:id="rId1" xr:uid="{822688FC-ECDC-4AFD-A100-44A44A5181B5}"/>
    <hyperlink ref="E18" r:id="rId2" xr:uid="{14FD5BED-645B-4AF9-8106-EE89A3C327F3}"/>
    <hyperlink ref="E8" r:id="rId3" xr:uid="{35142445-E093-4E28-A080-338C05607D27}"/>
    <hyperlink ref="E9" r:id="rId4" display="PM03D power module" xr:uid="{694F97F3-3C48-4300-977E-C72717F28656}"/>
    <hyperlink ref="E11" r:id="rId5" xr:uid="{B4C29961-1209-4623-A229-614D0582F3C7}"/>
    <hyperlink ref="E13" r:id="rId6" xr:uid="{E14BC152-06B0-42D1-A23D-4D47B6CAC324}"/>
    <hyperlink ref="E14" r:id="rId7" xr:uid="{3B9B58BD-FAF3-4C5E-AACC-AB6DE3BBFDBE}"/>
    <hyperlink ref="E15" r:id="rId8" xr:uid="{4F49D8C7-026F-44DA-888D-F6E32BDE774C}"/>
    <hyperlink ref="E12" r:id="rId9" xr:uid="{B4B57F38-0904-458E-8451-06DE039D27EF}"/>
    <hyperlink ref="E19" r:id="rId10" xr:uid="{F90AD061-739A-41B5-9BF4-090C2D85F4F2}"/>
    <hyperlink ref="E30" r:id="rId11" xr:uid="{49D22811-3785-4A47-B223-F14700679088}"/>
    <hyperlink ref="E20" r:id="rId12" xr:uid="{C8E0B618-C82A-4688-920E-4F30963DCF2A}"/>
    <hyperlink ref="E17" r:id="rId13" xr:uid="{2A68D80C-28CB-48DA-8A01-72390418F6AB}"/>
    <hyperlink ref="E21" r:id="rId14" xr:uid="{688ABA62-E991-44CB-9118-59E554E20A97}"/>
    <hyperlink ref="E27" r:id="rId15" xr:uid="{9046ECE8-A403-4B45-85FA-0D9092088879}"/>
    <hyperlink ref="E28" r:id="rId16" xr:uid="{95F9EE1C-8789-4C74-A8E3-2982E7502B87}"/>
    <hyperlink ref="E23" r:id="rId17" xr:uid="{D3381FD3-3443-4AE5-8142-B309785DE900}"/>
    <hyperlink ref="E22" r:id="rId18" xr:uid="{037862EF-6410-429A-90EC-56F6C8B751B0}"/>
    <hyperlink ref="E29" r:id="rId19" xr:uid="{CFDA5060-D158-4DCC-9485-D1BF743B2768}"/>
    <hyperlink ref="E3" r:id="rId20" xr:uid="{F51182DF-02F2-475D-B39E-02603A7E0386}"/>
    <hyperlink ref="E4" r:id="rId21" xr:uid="{19F443BD-0A87-46A6-9028-41D554FB4F8C}"/>
    <hyperlink ref="E7" r:id="rId22" xr:uid="{EBFEB0CF-455E-4691-B4BD-9914EA8E020E}"/>
    <hyperlink ref="E16" r:id="rId23" xr:uid="{11AE494B-3207-45E8-8E86-640E999188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Efraim</dc:creator>
  <cp:lastModifiedBy>Tal Efraim</cp:lastModifiedBy>
  <dcterms:created xsi:type="dcterms:W3CDTF">2015-06-05T18:17:20Z</dcterms:created>
  <dcterms:modified xsi:type="dcterms:W3CDTF">2026-02-03T00:34:36Z</dcterms:modified>
</cp:coreProperties>
</file>